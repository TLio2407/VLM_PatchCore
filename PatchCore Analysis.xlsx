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ong\Project\VLM PatchCore\"/>
    </mc:Choice>
  </mc:AlternateContent>
  <xr:revisionPtr revIDLastSave="0" documentId="13_ncr:1_{383344D5-A77E-4B87-8ABB-79E3E5DD6A18}" xr6:coauthVersionLast="47" xr6:coauthVersionMax="47" xr10:uidLastSave="{00000000-0000-0000-0000-000000000000}"/>
  <bookViews>
    <workbookView xWindow="-108" yWindow="-108" windowWidth="23256" windowHeight="12456" xr2:uid="{BF44E4DC-0545-4560-8CC4-3D058E3D3D3D}"/>
  </bookViews>
  <sheets>
    <sheet name="Statistics" sheetId="1" r:id="rId1"/>
    <sheet name="AV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1" i="2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33" i="1"/>
  <c r="D30" i="1"/>
  <c r="D31" i="1"/>
  <c r="D32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15" i="1"/>
  <c r="D3" i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<sst xmlns="http://schemas.openxmlformats.org/spreadsheetml/2006/main" count="150" uniqueCount="28">
  <si>
    <t>AUC</t>
  </si>
  <si>
    <t>Model</t>
  </si>
  <si>
    <t>Dataset</t>
  </si>
  <si>
    <t>Original PatchCore</t>
  </si>
  <si>
    <t>Execution time</t>
  </si>
  <si>
    <t>bottle</t>
  </si>
  <si>
    <t>cable</t>
  </si>
  <si>
    <t>capsule</t>
  </si>
  <si>
    <t>carpet</t>
  </si>
  <si>
    <t>grid</t>
  </si>
  <si>
    <t>leather</t>
  </si>
  <si>
    <t>metal_nut</t>
  </si>
  <si>
    <t>pill</t>
  </si>
  <si>
    <t>screw</t>
  </si>
  <si>
    <t>tile</t>
  </si>
  <si>
    <t>toothbrush</t>
  </si>
  <si>
    <t>transitor</t>
  </si>
  <si>
    <t>wood</t>
  </si>
  <si>
    <t>zippper</t>
  </si>
  <si>
    <t>Execution time in second</t>
  </si>
  <si>
    <t>AUC with coreset = 0,1</t>
  </si>
  <si>
    <t>AUC with coreset = 0,25</t>
  </si>
  <si>
    <t> 0,9399890889252592</t>
  </si>
  <si>
    <t>VLM_Local</t>
  </si>
  <si>
    <t>VLM_Global</t>
  </si>
  <si>
    <t>CLIP_ViT_B32</t>
  </si>
  <si>
    <t>DINOv2</t>
  </si>
  <si>
    <t>Original AVG 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</si>
</sst>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0000000000_-;\-* #,##0.000000000000000_-;_-* &quot;-&quot;??_-;_-@_-"/>
    <numFmt numFmtId="185" formatCode="0.0000000000000000"/>
  </numFmts>
  <fonts count="4" x14ac:knownFonts="1">
    <font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rgb="FF000000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47" fontId="0" fillId="0" borderId="0" xfId="0" applyNumberFormat="1"/>
    <xf numFmtId="0" fontId="2" fillId="0" borderId="0" xfId="0" applyFont="1"/>
    <xf numFmtId="2" fontId="0" fillId="0" borderId="0" xfId="0" applyNumberFormat="1"/>
    <xf numFmtId="164" fontId="0" fillId="0" borderId="0" xfId="1" applyNumberFormat="1" applyFont="1"/>
    <xf numFmtId="18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71C0-DD8A-4E5B-B04C-B01761356AAE}">
  <dimension ref="A1:G71"/>
  <sheetViews>
    <sheetView tabSelected="1" zoomScale="88" zoomScaleNormal="100" workbookViewId="0">
      <pane ySplit="1" topLeftCell="A46" activePane="bottomLeft" state="frozen"/>
      <selection pane="bottomLeft" activeCell="B76" sqref="B76"/>
    </sheetView>
  </sheetViews>
  <sheetFormatPr defaultRowHeight="13.8" x14ac:dyDescent="0.25"/>
  <cols>
    <col min="1" max="1" width="29.5" bestFit="1" customWidth="1"/>
    <col min="2" max="2" width="16.19921875" customWidth="1"/>
    <col min="3" max="3" width="14.3984375" customWidth="1"/>
    <col min="4" max="4" width="20.8984375" customWidth="1"/>
    <col min="5" max="7" width="20.796875" style="4" bestFit="1" customWidth="1"/>
  </cols>
  <sheetData>
    <row r="1" spans="1:7" x14ac:dyDescent="0.25">
      <c r="A1" t="s">
        <v>1</v>
      </c>
      <c r="B1" t="s">
        <v>2</v>
      </c>
      <c r="C1" t="s">
        <v>4</v>
      </c>
      <c r="D1" t="s">
        <v>19</v>
      </c>
      <c r="E1" s="4" t="s">
        <v>0</v>
      </c>
      <c r="F1" s="4" t="s">
        <v>20</v>
      </c>
      <c r="G1" s="4" t="s">
        <v>21</v>
      </c>
    </row>
    <row r="2" spans="1:7" x14ac:dyDescent="0.25">
      <c r="A2" t="s">
        <v>3</v>
      </c>
      <c r="B2" t="s">
        <v>5</v>
      </c>
      <c r="C2" s="1">
        <v>1.6510069444444443E-3</v>
      </c>
      <c r="D2" s="3">
        <f>HOUR(C2)*3600 + MINUTE(C2)*60 + SECOND(C2)</f>
        <v>143</v>
      </c>
      <c r="E2" s="4">
        <v>1</v>
      </c>
      <c r="F2" s="4">
        <v>1</v>
      </c>
      <c r="G2" s="4">
        <v>1</v>
      </c>
    </row>
    <row r="3" spans="1:7" x14ac:dyDescent="0.25">
      <c r="A3" t="s">
        <v>3</v>
      </c>
      <c r="B3" t="s">
        <v>6</v>
      </c>
      <c r="C3" s="1">
        <v>2.7081597222222225E-3</v>
      </c>
      <c r="D3" s="3">
        <f t="shared" ref="D3:D14" si="0">HOUR(C3)*3600 + MINUTE(C3)*60 + SECOND(C3)</f>
        <v>234</v>
      </c>
      <c r="E3" s="4">
        <v>0.95652173913043403</v>
      </c>
      <c r="F3" s="4">
        <v>0.95652173913043403</v>
      </c>
      <c r="G3" s="4">
        <v>0.96364317841079405</v>
      </c>
    </row>
    <row r="4" spans="1:7" x14ac:dyDescent="0.25">
      <c r="A4" t="s">
        <v>3</v>
      </c>
      <c r="B4" t="s">
        <v>7</v>
      </c>
      <c r="C4" s="1">
        <v>2.3565740740740743E-3</v>
      </c>
      <c r="D4" s="3">
        <f t="shared" si="0"/>
        <v>204</v>
      </c>
      <c r="E4" s="4">
        <v>0.97925807738332604</v>
      </c>
      <c r="F4" s="4">
        <v>0.97925807738332604</v>
      </c>
      <c r="G4" s="4">
        <v>0.97487036298364504</v>
      </c>
    </row>
    <row r="5" spans="1:7" x14ac:dyDescent="0.25">
      <c r="A5" t="s">
        <v>3</v>
      </c>
      <c r="B5" t="s">
        <v>8</v>
      </c>
      <c r="C5" s="1">
        <v>2.8426967592592592E-3</v>
      </c>
      <c r="D5" s="3">
        <f t="shared" si="0"/>
        <v>246</v>
      </c>
      <c r="E5" s="4">
        <v>0.98515248796147603</v>
      </c>
      <c r="F5" s="4">
        <v>0.98515248796147603</v>
      </c>
      <c r="G5" s="4">
        <v>0.985553772070626</v>
      </c>
    </row>
    <row r="6" spans="1:7" x14ac:dyDescent="0.25">
      <c r="A6" t="s">
        <v>3</v>
      </c>
      <c r="B6" t="s">
        <v>9</v>
      </c>
      <c r="C6" s="1">
        <v>1.7338078703703701E-3</v>
      </c>
      <c r="D6" s="3">
        <f t="shared" si="0"/>
        <v>150</v>
      </c>
      <c r="E6" s="4">
        <v>0.95989974937343303</v>
      </c>
      <c r="F6" s="4">
        <v>0.95989974937343303</v>
      </c>
      <c r="G6" s="4">
        <v>0.95739348370927302</v>
      </c>
    </row>
    <row r="7" spans="1:7" x14ac:dyDescent="0.25">
      <c r="A7" t="s">
        <v>3</v>
      </c>
      <c r="B7" t="s">
        <v>10</v>
      </c>
      <c r="C7" s="1">
        <v>2.2326967592592594E-3</v>
      </c>
      <c r="D7" s="3">
        <f t="shared" si="0"/>
        <v>193</v>
      </c>
      <c r="E7" s="4">
        <v>1</v>
      </c>
      <c r="F7" s="4">
        <v>1</v>
      </c>
      <c r="G7" s="4">
        <v>1</v>
      </c>
    </row>
    <row r="8" spans="1:7" x14ac:dyDescent="0.25">
      <c r="A8" t="s">
        <v>3</v>
      </c>
      <c r="B8" t="s">
        <v>11</v>
      </c>
      <c r="C8" s="1">
        <v>1.6352199074074075E-3</v>
      </c>
      <c r="D8" s="3">
        <f t="shared" si="0"/>
        <v>141</v>
      </c>
      <c r="E8" s="4">
        <v>0.98533724340175899</v>
      </c>
      <c r="F8" s="4">
        <v>0.98289345063538602</v>
      </c>
      <c r="G8" s="4">
        <v>0.98533724340175899</v>
      </c>
    </row>
    <row r="9" spans="1:7" x14ac:dyDescent="0.25">
      <c r="A9" t="s">
        <v>3</v>
      </c>
      <c r="B9" t="s">
        <v>12</v>
      </c>
      <c r="C9" s="1">
        <v>2.5562500000000004E-3</v>
      </c>
      <c r="D9" s="3">
        <f t="shared" si="0"/>
        <v>221</v>
      </c>
      <c r="E9" s="4">
        <v>0.92771412984178903</v>
      </c>
      <c r="F9" s="4" t="s">
        <v>22</v>
      </c>
      <c r="G9" s="4">
        <v>0.92253136933988</v>
      </c>
    </row>
    <row r="10" spans="1:7" x14ac:dyDescent="0.25">
      <c r="A10" t="s">
        <v>3</v>
      </c>
      <c r="B10" t="s">
        <v>13</v>
      </c>
      <c r="C10" s="1">
        <v>2.9288888888888889E-3</v>
      </c>
      <c r="D10" s="3">
        <f t="shared" si="0"/>
        <v>253</v>
      </c>
      <c r="E10" s="4">
        <v>0.89772494363599098</v>
      </c>
      <c r="F10" s="4">
        <v>0.92047550727608096</v>
      </c>
      <c r="G10" s="4">
        <v>0.90202910432465599</v>
      </c>
    </row>
    <row r="11" spans="1:7" x14ac:dyDescent="0.25">
      <c r="A11" t="s">
        <v>3</v>
      </c>
      <c r="B11" t="s">
        <v>14</v>
      </c>
      <c r="C11" s="1">
        <v>1.8883101851851851E-3</v>
      </c>
      <c r="D11" s="3">
        <f t="shared" si="0"/>
        <v>163</v>
      </c>
      <c r="E11" s="4">
        <v>0.99819624819624797</v>
      </c>
      <c r="F11" s="4">
        <v>0.99855699855699798</v>
      </c>
      <c r="G11" s="4">
        <v>0.99891774891774898</v>
      </c>
    </row>
    <row r="12" spans="1:7" x14ac:dyDescent="0.25">
      <c r="A12" t="s">
        <v>3</v>
      </c>
      <c r="B12" t="s">
        <v>15</v>
      </c>
      <c r="C12" s="1">
        <v>3.5413194444444446E-4</v>
      </c>
      <c r="D12" s="3">
        <f t="shared" si="0"/>
        <v>31</v>
      </c>
      <c r="E12" s="4">
        <v>0.91388888888888897</v>
      </c>
      <c r="F12" s="4">
        <v>0.92222222222222205</v>
      </c>
      <c r="G12" s="4">
        <v>0.92222222222222205</v>
      </c>
    </row>
    <row r="13" spans="1:7" x14ac:dyDescent="0.25">
      <c r="A13" t="s">
        <v>3</v>
      </c>
      <c r="B13" t="s">
        <v>16</v>
      </c>
      <c r="C13" s="1">
        <v>1.7166087962962964E-3</v>
      </c>
      <c r="D13" s="3">
        <f t="shared" si="0"/>
        <v>148</v>
      </c>
      <c r="E13" s="4">
        <v>0.995</v>
      </c>
      <c r="F13" s="4">
        <v>0.99541666666666595</v>
      </c>
      <c r="G13" s="4">
        <v>0.99374999999999902</v>
      </c>
    </row>
    <row r="14" spans="1:7" x14ac:dyDescent="0.25">
      <c r="A14" t="s">
        <v>3</v>
      </c>
      <c r="B14" t="s">
        <v>17</v>
      </c>
      <c r="C14" s="1">
        <v>1.8713888888888888E-3</v>
      </c>
      <c r="D14" s="3">
        <f t="shared" si="0"/>
        <v>162</v>
      </c>
      <c r="E14" s="4">
        <v>0.98859649122807003</v>
      </c>
      <c r="F14" s="4">
        <v>0.98859649122807003</v>
      </c>
      <c r="G14" s="4">
        <v>0.98421052631578898</v>
      </c>
    </row>
    <row r="15" spans="1:7" x14ac:dyDescent="0.25">
      <c r="A15" t="s">
        <v>3</v>
      </c>
      <c r="B15" t="s">
        <v>18</v>
      </c>
      <c r="C15" s="1">
        <v>2.0451620370370372E-3</v>
      </c>
      <c r="D15" s="3">
        <f>HOUR(C15)*3600 + MINUTE(C15)*60 + SECOND(C15)</f>
        <v>177</v>
      </c>
      <c r="E15" s="4">
        <v>0.963497899159663</v>
      </c>
      <c r="F15" s="4">
        <v>0.963497899159663</v>
      </c>
      <c r="G15" s="4">
        <v>0.96638655462184797</v>
      </c>
    </row>
    <row r="16" spans="1:7" x14ac:dyDescent="0.25">
      <c r="A16" t="s">
        <v>24</v>
      </c>
      <c r="B16" t="s">
        <v>5</v>
      </c>
      <c r="C16" s="1">
        <v>5.4572916666666669E-4</v>
      </c>
      <c r="D16" s="3">
        <f t="shared" ref="D16:D71" si="1">HOUR(C16)*3600 + MINUTE(C16)*60 + SECOND(C16)</f>
        <v>47</v>
      </c>
      <c r="E16" s="4">
        <v>0.99285714285714199</v>
      </c>
      <c r="F16" s="4">
        <v>0.99761904761904696</v>
      </c>
      <c r="G16" s="4">
        <v>0.99206349206349198</v>
      </c>
    </row>
    <row r="17" spans="1:7" x14ac:dyDescent="0.25">
      <c r="A17" t="s">
        <v>24</v>
      </c>
      <c r="B17" t="s">
        <v>6</v>
      </c>
      <c r="C17" s="1">
        <v>1.0712499999999999E-3</v>
      </c>
      <c r="D17" s="3">
        <f t="shared" si="1"/>
        <v>93</v>
      </c>
      <c r="E17" s="4">
        <v>0.87968515742128905</v>
      </c>
      <c r="F17" s="4">
        <v>0.81615442278860495</v>
      </c>
      <c r="G17" s="4">
        <v>0.86844077961019395</v>
      </c>
    </row>
    <row r="18" spans="1:7" x14ac:dyDescent="0.25">
      <c r="A18" t="s">
        <v>24</v>
      </c>
      <c r="B18" t="s">
        <v>7</v>
      </c>
      <c r="C18" s="1">
        <v>1.0833564814814816E-3</v>
      </c>
      <c r="D18" s="3">
        <f t="shared" si="1"/>
        <v>94</v>
      </c>
      <c r="E18" s="4">
        <v>0.79018747506980402</v>
      </c>
      <c r="F18" s="4">
        <v>0.77542879936178699</v>
      </c>
      <c r="G18" s="4">
        <v>0.76346230554447503</v>
      </c>
    </row>
    <row r="19" spans="1:7" x14ac:dyDescent="0.25">
      <c r="A19" t="s">
        <v>24</v>
      </c>
      <c r="B19" t="s">
        <v>8</v>
      </c>
      <c r="C19" s="1">
        <v>1.2795138888888888E-3</v>
      </c>
      <c r="D19" s="3">
        <f t="shared" si="1"/>
        <v>111</v>
      </c>
      <c r="E19" s="4">
        <v>0.865569823434992</v>
      </c>
      <c r="F19" s="4">
        <v>0.87359550561797705</v>
      </c>
      <c r="G19" s="4">
        <v>0.85032102728731895</v>
      </c>
    </row>
    <row r="20" spans="1:7" x14ac:dyDescent="0.25">
      <c r="A20" t="s">
        <v>24</v>
      </c>
      <c r="B20" t="s">
        <v>9</v>
      </c>
      <c r="C20" s="1">
        <v>4.8240740740740742E-4</v>
      </c>
      <c r="D20" s="3">
        <f t="shared" si="1"/>
        <v>42</v>
      </c>
      <c r="E20" s="4">
        <v>0.88805346700083498</v>
      </c>
      <c r="F20" s="4">
        <v>0.89473684210526305</v>
      </c>
      <c r="G20" s="4">
        <v>0.86382623224728405</v>
      </c>
    </row>
    <row r="21" spans="1:7" x14ac:dyDescent="0.25">
      <c r="A21" t="s">
        <v>24</v>
      </c>
      <c r="B21" t="s">
        <v>10</v>
      </c>
      <c r="C21" s="1">
        <v>9.7910879629629628E-4</v>
      </c>
      <c r="D21" s="3">
        <f t="shared" si="1"/>
        <v>85</v>
      </c>
      <c r="E21" s="4">
        <v>1</v>
      </c>
      <c r="F21" s="4">
        <v>1</v>
      </c>
      <c r="G21" s="4">
        <v>1</v>
      </c>
    </row>
    <row r="22" spans="1:7" x14ac:dyDescent="0.25">
      <c r="A22" t="s">
        <v>24</v>
      </c>
      <c r="B22" t="s">
        <v>11</v>
      </c>
      <c r="C22" s="1">
        <v>4.5762731481481484E-4</v>
      </c>
      <c r="D22" s="3">
        <f t="shared" si="1"/>
        <v>40</v>
      </c>
      <c r="E22" s="4">
        <v>0.86901270772238504</v>
      </c>
      <c r="F22" s="4">
        <v>0.81427174975562</v>
      </c>
      <c r="G22" s="4">
        <v>0.83186705767350899</v>
      </c>
    </row>
    <row r="23" spans="1:7" x14ac:dyDescent="0.25">
      <c r="A23" t="s">
        <v>24</v>
      </c>
      <c r="B23" t="s">
        <v>12</v>
      </c>
      <c r="C23" s="1">
        <v>7.2157407407407413E-4</v>
      </c>
      <c r="D23" s="3">
        <f t="shared" si="1"/>
        <v>62</v>
      </c>
      <c r="E23" s="4">
        <v>0.77550463720676399</v>
      </c>
      <c r="F23" s="4">
        <v>0.70621931260229098</v>
      </c>
      <c r="G23" s="4">
        <v>0.75722858701582096</v>
      </c>
    </row>
    <row r="24" spans="1:7" x14ac:dyDescent="0.25">
      <c r="A24" t="s">
        <v>24</v>
      </c>
      <c r="B24" t="s">
        <v>13</v>
      </c>
      <c r="C24" s="1">
        <v>6.1208333333333329E-4</v>
      </c>
      <c r="D24" s="3">
        <f t="shared" si="1"/>
        <v>53</v>
      </c>
      <c r="E24" s="4">
        <v>0.85673293707726905</v>
      </c>
      <c r="F24" s="4">
        <v>0.73908587825373995</v>
      </c>
      <c r="G24" s="4">
        <v>0.761426521828243</v>
      </c>
    </row>
    <row r="25" spans="1:7" x14ac:dyDescent="0.25">
      <c r="A25" t="s">
        <v>24</v>
      </c>
      <c r="B25" t="s">
        <v>14</v>
      </c>
      <c r="C25" s="1">
        <v>7.1616898148148147E-4</v>
      </c>
      <c r="D25" s="3">
        <f t="shared" si="1"/>
        <v>62</v>
      </c>
      <c r="E25" s="4">
        <v>0.99891774891774898</v>
      </c>
      <c r="F25" s="4">
        <v>0.99747474747474696</v>
      </c>
      <c r="G25" s="4">
        <v>0.99783549783549697</v>
      </c>
    </row>
    <row r="26" spans="1:7" x14ac:dyDescent="0.25">
      <c r="A26" t="s">
        <v>24</v>
      </c>
      <c r="B26" t="s">
        <v>15</v>
      </c>
      <c r="C26" s="1">
        <v>2.9585648148148147E-4</v>
      </c>
      <c r="D26" s="3">
        <f t="shared" si="1"/>
        <v>26</v>
      </c>
      <c r="E26" s="4">
        <v>0.93611111111111101</v>
      </c>
      <c r="F26" s="4">
        <v>0.85555555555555496</v>
      </c>
      <c r="G26" s="4">
        <v>0.90833333333333299</v>
      </c>
    </row>
    <row r="27" spans="1:7" x14ac:dyDescent="0.25">
      <c r="A27" t="s">
        <v>24</v>
      </c>
      <c r="B27" t="s">
        <v>16</v>
      </c>
      <c r="C27" s="1">
        <v>8.8064814814814809E-4</v>
      </c>
      <c r="D27" s="3">
        <f t="shared" si="1"/>
        <v>76</v>
      </c>
      <c r="E27" s="4">
        <v>0.84833333333333305</v>
      </c>
      <c r="F27" s="4">
        <v>0.83875</v>
      </c>
      <c r="G27" s="4">
        <v>0.85458333333333303</v>
      </c>
    </row>
    <row r="28" spans="1:7" x14ac:dyDescent="0.25">
      <c r="A28" t="s">
        <v>24</v>
      </c>
      <c r="B28" t="s">
        <v>17</v>
      </c>
      <c r="C28" s="1">
        <v>9.9577546296296285E-4</v>
      </c>
      <c r="D28" s="3">
        <f t="shared" si="1"/>
        <v>86</v>
      </c>
      <c r="E28" s="4">
        <v>0.99298245614035097</v>
      </c>
      <c r="F28" s="4">
        <v>0.98333333333333295</v>
      </c>
      <c r="G28" s="4">
        <v>0.98508771929824501</v>
      </c>
    </row>
    <row r="29" spans="1:7" x14ac:dyDescent="0.25">
      <c r="A29" t="s">
        <v>24</v>
      </c>
      <c r="B29" t="s">
        <v>18</v>
      </c>
      <c r="C29" s="1">
        <v>4.9042824074074071E-4</v>
      </c>
      <c r="D29" s="3">
        <f t="shared" si="1"/>
        <v>42</v>
      </c>
      <c r="E29" s="4">
        <v>0.95706407563025198</v>
      </c>
      <c r="F29" s="4">
        <v>0.94616596638655404</v>
      </c>
      <c r="G29" s="4">
        <v>0.95916491596638598</v>
      </c>
    </row>
    <row r="30" spans="1:7" x14ac:dyDescent="0.25">
      <c r="A30" s="2" t="s">
        <v>23</v>
      </c>
      <c r="B30" t="s">
        <v>5</v>
      </c>
      <c r="C30" s="1">
        <v>5.9767361111111111E-4</v>
      </c>
      <c r="D30" s="3">
        <f t="shared" si="1"/>
        <v>52</v>
      </c>
      <c r="E30" s="4">
        <v>0.99841269841269797</v>
      </c>
      <c r="F30" s="4">
        <v>1</v>
      </c>
      <c r="G30" s="4">
        <v>0.99920634920634899</v>
      </c>
    </row>
    <row r="31" spans="1:7" x14ac:dyDescent="0.25">
      <c r="A31" s="2" t="s">
        <v>23</v>
      </c>
      <c r="B31" t="s">
        <v>6</v>
      </c>
      <c r="C31" s="1">
        <v>1.1214814814814815E-3</v>
      </c>
      <c r="D31" s="3">
        <f t="shared" si="1"/>
        <v>97</v>
      </c>
      <c r="E31" s="4">
        <v>0.91772863568215801</v>
      </c>
      <c r="F31" s="4">
        <v>0.91060719640179899</v>
      </c>
      <c r="G31" s="4">
        <v>0.91941529235382302</v>
      </c>
    </row>
    <row r="32" spans="1:7" x14ac:dyDescent="0.25">
      <c r="A32" s="2" t="s">
        <v>23</v>
      </c>
      <c r="B32" t="s">
        <v>7</v>
      </c>
      <c r="C32" s="1">
        <v>9.8604166666666675E-4</v>
      </c>
      <c r="D32" s="3">
        <f t="shared" si="1"/>
        <v>85</v>
      </c>
      <c r="E32" s="4">
        <v>0.90027921818906997</v>
      </c>
      <c r="F32" s="4">
        <v>0.91065017949740701</v>
      </c>
      <c r="G32" s="4">
        <v>0.90546469884323899</v>
      </c>
    </row>
    <row r="33" spans="1:7" x14ac:dyDescent="0.25">
      <c r="A33" s="2" t="s">
        <v>23</v>
      </c>
      <c r="B33" t="s">
        <v>8</v>
      </c>
      <c r="C33" s="1">
        <v>1.3594675925925927E-3</v>
      </c>
      <c r="D33" s="3">
        <f t="shared" si="1"/>
        <v>117</v>
      </c>
      <c r="E33" s="4">
        <v>0.98314606741572996</v>
      </c>
      <c r="F33" s="4">
        <v>0.97512038523274402</v>
      </c>
      <c r="G33" s="4">
        <v>0.98434991974317798</v>
      </c>
    </row>
    <row r="34" spans="1:7" x14ac:dyDescent="0.25">
      <c r="A34" s="2" t="s">
        <v>23</v>
      </c>
      <c r="B34" t="s">
        <v>9</v>
      </c>
      <c r="C34" s="1">
        <v>6.3841435185185182E-4</v>
      </c>
      <c r="D34" s="3">
        <f t="shared" si="1"/>
        <v>55</v>
      </c>
      <c r="E34" s="4">
        <v>0.99081035923141103</v>
      </c>
      <c r="F34" s="4">
        <v>0.98078529657476998</v>
      </c>
      <c r="G34" s="4">
        <v>0.99415204678362501</v>
      </c>
    </row>
    <row r="35" spans="1:7" x14ac:dyDescent="0.25">
      <c r="A35" s="2" t="s">
        <v>23</v>
      </c>
      <c r="B35" t="s">
        <v>10</v>
      </c>
      <c r="C35" s="1">
        <v>1.0886342592592592E-3</v>
      </c>
      <c r="D35" s="3">
        <f t="shared" si="1"/>
        <v>94</v>
      </c>
      <c r="E35" s="4">
        <v>1</v>
      </c>
      <c r="F35" s="4">
        <v>1</v>
      </c>
      <c r="G35" s="4">
        <v>1</v>
      </c>
    </row>
    <row r="36" spans="1:7" x14ac:dyDescent="0.25">
      <c r="A36" s="2" t="s">
        <v>23</v>
      </c>
      <c r="B36" t="s">
        <v>11</v>
      </c>
      <c r="C36" s="1">
        <v>5.5869212962962969E-4</v>
      </c>
      <c r="D36" s="3">
        <f t="shared" si="1"/>
        <v>48</v>
      </c>
      <c r="E36" s="4">
        <v>0.99462365591397806</v>
      </c>
      <c r="F36" s="4">
        <v>0.99462365591397806</v>
      </c>
      <c r="G36" s="4">
        <v>0.99315738025415401</v>
      </c>
    </row>
    <row r="37" spans="1:7" x14ac:dyDescent="0.25">
      <c r="A37" s="2" t="s">
        <v>23</v>
      </c>
      <c r="B37" t="s">
        <v>12</v>
      </c>
      <c r="C37" s="1">
        <v>8.7574074074074073E-4</v>
      </c>
      <c r="D37" s="3">
        <f t="shared" si="1"/>
        <v>76</v>
      </c>
      <c r="E37" s="4">
        <v>0.89798145117294004</v>
      </c>
      <c r="F37" s="4">
        <v>0.89034369885433695</v>
      </c>
      <c r="G37" s="4">
        <v>0.90289143480632805</v>
      </c>
    </row>
    <row r="38" spans="1:7" x14ac:dyDescent="0.25">
      <c r="A38" s="2" t="s">
        <v>23</v>
      </c>
      <c r="B38" t="s">
        <v>13</v>
      </c>
      <c r="C38" s="1">
        <v>8.8263888888888897E-4</v>
      </c>
      <c r="D38" s="3">
        <f t="shared" si="1"/>
        <v>76</v>
      </c>
      <c r="E38" s="4">
        <v>0.83459725353556002</v>
      </c>
      <c r="F38" s="4">
        <v>0.82414429186308602</v>
      </c>
      <c r="G38" s="4">
        <v>0.83787661406025804</v>
      </c>
    </row>
    <row r="39" spans="1:7" x14ac:dyDescent="0.25">
      <c r="A39" s="2" t="s">
        <v>23</v>
      </c>
      <c r="B39" t="s">
        <v>14</v>
      </c>
      <c r="C39" s="1">
        <v>8.5331018518518514E-4</v>
      </c>
      <c r="D39" s="3">
        <f t="shared" si="1"/>
        <v>74</v>
      </c>
      <c r="E39" s="4">
        <v>0.99386724386724301</v>
      </c>
      <c r="F39" s="4">
        <v>0.99422799422799402</v>
      </c>
      <c r="G39" s="4">
        <v>0.993506493506493</v>
      </c>
    </row>
    <row r="40" spans="1:7" x14ac:dyDescent="0.25">
      <c r="A40" s="2" t="s">
        <v>23</v>
      </c>
      <c r="B40" t="s">
        <v>15</v>
      </c>
      <c r="C40" s="1">
        <v>3.4527777777777779E-4</v>
      </c>
      <c r="D40" s="3">
        <f t="shared" si="1"/>
        <v>30</v>
      </c>
      <c r="E40" s="4">
        <v>0.90833333333333299</v>
      </c>
      <c r="F40" s="4">
        <v>0.9</v>
      </c>
      <c r="G40" s="4">
        <v>0.89444444444444404</v>
      </c>
    </row>
    <row r="41" spans="1:7" x14ac:dyDescent="0.25">
      <c r="A41" s="2" t="s">
        <v>23</v>
      </c>
      <c r="B41" t="s">
        <v>16</v>
      </c>
      <c r="C41" s="1">
        <v>9.7416666666666669E-4</v>
      </c>
      <c r="D41" s="3">
        <f t="shared" si="1"/>
        <v>84</v>
      </c>
      <c r="E41" s="4">
        <v>0.91458333333333297</v>
      </c>
      <c r="F41" s="4">
        <v>0.92416666666666603</v>
      </c>
      <c r="G41" s="4">
        <v>0.91499999999999904</v>
      </c>
    </row>
    <row r="42" spans="1:7" x14ac:dyDescent="0.25">
      <c r="A42" s="2" t="s">
        <v>23</v>
      </c>
      <c r="B42" t="s">
        <v>17</v>
      </c>
      <c r="C42" s="1">
        <v>1.0486226851851852E-3</v>
      </c>
      <c r="D42" s="3">
        <f t="shared" si="1"/>
        <v>91</v>
      </c>
      <c r="E42" s="4">
        <v>0.98596491228070104</v>
      </c>
      <c r="F42" s="4">
        <v>0.98684210526315697</v>
      </c>
      <c r="G42" s="4">
        <v>0.981578947368421</v>
      </c>
    </row>
    <row r="43" spans="1:7" x14ac:dyDescent="0.25">
      <c r="A43" s="2" t="s">
        <v>23</v>
      </c>
      <c r="B43" t="s">
        <v>18</v>
      </c>
      <c r="C43" s="1">
        <v>8.0774305555555558E-4</v>
      </c>
      <c r="D43" s="3">
        <f t="shared" si="1"/>
        <v>70</v>
      </c>
      <c r="E43" s="4">
        <v>0.97137605042016795</v>
      </c>
      <c r="F43" s="4">
        <v>0.98161764705882304</v>
      </c>
      <c r="G43" s="4">
        <v>0.98135504201680601</v>
      </c>
    </row>
    <row r="44" spans="1:7" x14ac:dyDescent="0.25">
      <c r="A44" s="2" t="s">
        <v>25</v>
      </c>
      <c r="B44" t="s">
        <v>5</v>
      </c>
      <c r="C44" s="1">
        <v>6.6582175925925923E-4</v>
      </c>
      <c r="D44" s="3">
        <f t="shared" si="1"/>
        <v>58</v>
      </c>
      <c r="E44" s="4">
        <v>0.99920634920634899</v>
      </c>
      <c r="F44" s="4">
        <v>1</v>
      </c>
      <c r="G44" s="4">
        <v>0.99920634920634899</v>
      </c>
    </row>
    <row r="45" spans="1:7" x14ac:dyDescent="0.25">
      <c r="A45" s="2" t="s">
        <v>25</v>
      </c>
      <c r="B45" t="s">
        <v>6</v>
      </c>
      <c r="C45" s="1">
        <v>9.8949074074074087E-4</v>
      </c>
      <c r="D45" s="3">
        <f t="shared" si="1"/>
        <v>85</v>
      </c>
      <c r="E45" s="4">
        <v>0.93871814092953498</v>
      </c>
      <c r="F45" s="4">
        <v>0.93328335832083897</v>
      </c>
      <c r="G45" s="4">
        <v>0.942091454272863</v>
      </c>
    </row>
    <row r="46" spans="1:7" x14ac:dyDescent="0.25">
      <c r="A46" s="2" t="s">
        <v>25</v>
      </c>
      <c r="B46" t="s">
        <v>7</v>
      </c>
      <c r="C46" s="1">
        <v>1.2178935185185185E-3</v>
      </c>
      <c r="D46" s="3">
        <f t="shared" si="1"/>
        <v>105</v>
      </c>
      <c r="E46" s="4">
        <v>0.90187475069804501</v>
      </c>
      <c r="F46" s="4">
        <v>0.91344236138811297</v>
      </c>
      <c r="G46" s="4">
        <v>0.90785799760670105</v>
      </c>
    </row>
    <row r="47" spans="1:7" x14ac:dyDescent="0.25">
      <c r="A47" s="2" t="s">
        <v>25</v>
      </c>
      <c r="B47" t="s">
        <v>8</v>
      </c>
      <c r="C47" s="1">
        <v>1.5627777777777777E-3</v>
      </c>
      <c r="D47" s="3">
        <f t="shared" si="1"/>
        <v>135</v>
      </c>
      <c r="E47" s="4">
        <v>0.97873194221508797</v>
      </c>
      <c r="F47" s="4">
        <v>0.971107544141252</v>
      </c>
      <c r="G47" s="4">
        <v>0.97592295345104296</v>
      </c>
    </row>
    <row r="48" spans="1:7" x14ac:dyDescent="0.25">
      <c r="A48" s="2" t="s">
        <v>25</v>
      </c>
      <c r="B48" t="s">
        <v>9</v>
      </c>
      <c r="C48" s="1">
        <v>7.2109953703703702E-4</v>
      </c>
      <c r="D48" s="3">
        <f t="shared" si="1"/>
        <v>62</v>
      </c>
      <c r="E48" s="4">
        <v>0.98329156223892999</v>
      </c>
      <c r="F48" s="4">
        <v>0.96992481203007497</v>
      </c>
      <c r="G48" s="4">
        <v>0.98496240601503704</v>
      </c>
    </row>
    <row r="49" spans="1:7" x14ac:dyDescent="0.25">
      <c r="A49" s="2" t="s">
        <v>25</v>
      </c>
      <c r="B49" t="s">
        <v>10</v>
      </c>
      <c r="C49" s="1">
        <v>1.2439699074074074E-3</v>
      </c>
      <c r="D49" s="3">
        <f t="shared" si="1"/>
        <v>107</v>
      </c>
      <c r="E49" s="4">
        <v>1</v>
      </c>
      <c r="F49" s="4">
        <v>1</v>
      </c>
      <c r="G49" s="4">
        <v>1</v>
      </c>
    </row>
    <row r="50" spans="1:7" x14ac:dyDescent="0.25">
      <c r="A50" s="2" t="s">
        <v>25</v>
      </c>
      <c r="B50" t="s">
        <v>11</v>
      </c>
      <c r="C50" s="1">
        <v>6.7111111111111115E-4</v>
      </c>
      <c r="D50" s="3">
        <f t="shared" si="1"/>
        <v>58</v>
      </c>
      <c r="E50" s="4">
        <v>0.99169110459432996</v>
      </c>
      <c r="F50" s="4">
        <v>0.98875855327468198</v>
      </c>
      <c r="G50" s="4">
        <v>0.98826979472140697</v>
      </c>
    </row>
    <row r="51" spans="1:7" x14ac:dyDescent="0.25">
      <c r="A51" s="2" t="s">
        <v>25</v>
      </c>
      <c r="B51" t="s">
        <v>12</v>
      </c>
      <c r="C51" s="1">
        <v>1.0579282407407408E-3</v>
      </c>
      <c r="D51" s="3">
        <f t="shared" si="1"/>
        <v>91</v>
      </c>
      <c r="E51" s="4">
        <v>0.89334424440807403</v>
      </c>
      <c r="F51" s="4">
        <v>0.89143480632842298</v>
      </c>
      <c r="G51" s="4">
        <v>0.89607201309328899</v>
      </c>
    </row>
    <row r="52" spans="1:7" x14ac:dyDescent="0.25">
      <c r="A52" s="2" t="s">
        <v>25</v>
      </c>
      <c r="B52" t="s">
        <v>13</v>
      </c>
      <c r="C52" s="1">
        <v>1.0259953703703705E-3</v>
      </c>
      <c r="D52" s="3">
        <f t="shared" si="1"/>
        <v>89</v>
      </c>
      <c r="E52" s="4">
        <v>0.85304365648698499</v>
      </c>
      <c r="F52" s="4">
        <v>0.84832957573273204</v>
      </c>
      <c r="G52" s="4">
        <v>0.85878253740520505</v>
      </c>
    </row>
    <row r="53" spans="1:7" x14ac:dyDescent="0.25">
      <c r="A53" s="2" t="s">
        <v>25</v>
      </c>
      <c r="B53" t="s">
        <v>14</v>
      </c>
      <c r="C53" s="1">
        <v>1.0121990740740742E-3</v>
      </c>
      <c r="D53" s="3">
        <f t="shared" si="1"/>
        <v>87</v>
      </c>
      <c r="E53" s="4">
        <v>0.99567099567099504</v>
      </c>
      <c r="F53" s="4">
        <v>0.99675324675324595</v>
      </c>
      <c r="G53" s="4">
        <v>0.99639249639249605</v>
      </c>
    </row>
    <row r="54" spans="1:7" x14ac:dyDescent="0.25">
      <c r="A54" s="2" t="s">
        <v>25</v>
      </c>
      <c r="B54" t="s">
        <v>15</v>
      </c>
      <c r="C54" s="1">
        <v>3.6949074074074076E-4</v>
      </c>
      <c r="D54" s="3">
        <f t="shared" si="1"/>
        <v>32</v>
      </c>
      <c r="E54" s="4">
        <v>0.91944444444444395</v>
      </c>
      <c r="F54" s="4">
        <v>0.91111111111111098</v>
      </c>
      <c r="G54" s="4">
        <v>0.90833333333333299</v>
      </c>
    </row>
    <row r="55" spans="1:7" x14ac:dyDescent="0.25">
      <c r="A55" s="2" t="s">
        <v>25</v>
      </c>
      <c r="B55" t="s">
        <v>16</v>
      </c>
      <c r="C55" s="1">
        <v>1.1649074074074073E-3</v>
      </c>
      <c r="D55" s="3">
        <f t="shared" si="1"/>
        <v>101</v>
      </c>
      <c r="E55" s="4">
        <v>0.91291666666666604</v>
      </c>
      <c r="F55" s="4">
        <v>0.92291666666666605</v>
      </c>
      <c r="G55" s="4">
        <v>0.91541666666666599</v>
      </c>
    </row>
    <row r="56" spans="1:7" x14ac:dyDescent="0.25">
      <c r="A56" s="2" t="s">
        <v>25</v>
      </c>
      <c r="B56" t="s">
        <v>17</v>
      </c>
      <c r="C56" s="1">
        <v>1.4418518518518517E-3</v>
      </c>
      <c r="D56" s="3">
        <f t="shared" si="1"/>
        <v>125</v>
      </c>
      <c r="E56" s="4">
        <v>0.99210526315789405</v>
      </c>
      <c r="F56" s="4">
        <v>0.99210526315789405</v>
      </c>
      <c r="G56" s="4">
        <v>0.98947368421052595</v>
      </c>
    </row>
    <row r="57" spans="1:7" x14ac:dyDescent="0.25">
      <c r="A57" s="2" t="s">
        <v>25</v>
      </c>
      <c r="B57" t="s">
        <v>18</v>
      </c>
      <c r="C57" s="1">
        <v>7.4410879629629621E-4</v>
      </c>
      <c r="D57" s="3">
        <f t="shared" si="1"/>
        <v>64</v>
      </c>
      <c r="E57" s="4">
        <v>0.97715336134453701</v>
      </c>
      <c r="F57" s="4">
        <v>0.98398109243697396</v>
      </c>
      <c r="G57" s="4">
        <v>0.98476890756302504</v>
      </c>
    </row>
    <row r="58" spans="1:7" x14ac:dyDescent="0.25">
      <c r="A58" s="2" t="s">
        <v>26</v>
      </c>
      <c r="B58" t="s">
        <v>5</v>
      </c>
      <c r="C58" s="1">
        <v>2.5304745370370372E-3</v>
      </c>
      <c r="D58" s="3">
        <f t="shared" si="1"/>
        <v>219</v>
      </c>
      <c r="E58" s="5">
        <v>1</v>
      </c>
      <c r="F58" s="4">
        <v>1</v>
      </c>
      <c r="G58" s="4">
        <v>1</v>
      </c>
    </row>
    <row r="59" spans="1:7" x14ac:dyDescent="0.25">
      <c r="A59" s="2" t="s">
        <v>26</v>
      </c>
      <c r="B59" t="s">
        <v>6</v>
      </c>
      <c r="C59" s="1">
        <v>3.577395833333333E-3</v>
      </c>
      <c r="D59" s="3">
        <f t="shared" si="1"/>
        <v>309</v>
      </c>
      <c r="E59" s="5">
        <v>0.96251874062968501</v>
      </c>
      <c r="F59" s="4">
        <v>0.96551724137931005</v>
      </c>
      <c r="G59" s="4">
        <v>0.95970764617691096</v>
      </c>
    </row>
    <row r="60" spans="1:7" x14ac:dyDescent="0.25">
      <c r="A60" s="2" t="s">
        <v>26</v>
      </c>
      <c r="B60" t="s">
        <v>7</v>
      </c>
      <c r="C60" s="1">
        <v>3.4746875000000003E-3</v>
      </c>
      <c r="D60" s="3">
        <f t="shared" si="1"/>
        <v>300</v>
      </c>
      <c r="E60" s="5">
        <v>0.96051057040287202</v>
      </c>
      <c r="F60" s="4">
        <v>0.96290386916633397</v>
      </c>
      <c r="G60" s="4">
        <v>0.96051057040287202</v>
      </c>
    </row>
    <row r="61" spans="1:7" x14ac:dyDescent="0.25">
      <c r="A61" s="2" t="s">
        <v>26</v>
      </c>
      <c r="B61" t="s">
        <v>8</v>
      </c>
      <c r="C61" s="1">
        <v>6.1173379629629633E-3</v>
      </c>
      <c r="D61" s="3">
        <f t="shared" si="1"/>
        <v>529</v>
      </c>
      <c r="E61" s="5">
        <v>0.99879614767255198</v>
      </c>
      <c r="F61" s="4">
        <v>0.99839486356340201</v>
      </c>
      <c r="G61" s="4">
        <v>0.99799357945425304</v>
      </c>
    </row>
    <row r="62" spans="1:7" x14ac:dyDescent="0.25">
      <c r="A62" s="2" t="s">
        <v>26</v>
      </c>
      <c r="B62" t="s">
        <v>9</v>
      </c>
      <c r="C62" s="1">
        <v>4.0780555555555553E-3</v>
      </c>
      <c r="D62" s="3">
        <f t="shared" si="1"/>
        <v>352</v>
      </c>
      <c r="E62" s="5">
        <v>0.99248120300751796</v>
      </c>
      <c r="F62" s="4">
        <v>0.991645781119465</v>
      </c>
      <c r="G62" s="4">
        <v>0.99248120300751796</v>
      </c>
    </row>
    <row r="63" spans="1:7" x14ac:dyDescent="0.25">
      <c r="A63" s="2" t="s">
        <v>26</v>
      </c>
      <c r="B63" t="s">
        <v>10</v>
      </c>
      <c r="C63" s="1">
        <v>4.4133333333333333E-3</v>
      </c>
      <c r="D63" s="3">
        <f t="shared" si="1"/>
        <v>381</v>
      </c>
      <c r="E63" s="5">
        <v>1</v>
      </c>
      <c r="F63" s="4">
        <v>1</v>
      </c>
      <c r="G63" s="4">
        <v>1</v>
      </c>
    </row>
    <row r="64" spans="1:7" x14ac:dyDescent="0.25">
      <c r="A64" s="2" t="s">
        <v>26</v>
      </c>
      <c r="B64" t="s">
        <v>11</v>
      </c>
      <c r="C64" s="1">
        <v>3.0349884259259262E-3</v>
      </c>
      <c r="D64" s="3">
        <f t="shared" si="1"/>
        <v>262</v>
      </c>
      <c r="E64" s="5">
        <v>0.99853372434017595</v>
      </c>
      <c r="F64" s="4">
        <v>0.99902248289344997</v>
      </c>
      <c r="G64" s="4">
        <v>0.99902248289344997</v>
      </c>
    </row>
    <row r="65" spans="1:7" x14ac:dyDescent="0.25">
      <c r="A65" s="2" t="s">
        <v>26</v>
      </c>
      <c r="B65" t="s">
        <v>12</v>
      </c>
      <c r="C65" s="1">
        <v>6.0185185185185185E-3</v>
      </c>
      <c r="D65" s="3">
        <f t="shared" si="1"/>
        <v>520</v>
      </c>
      <c r="E65" s="5">
        <v>0.97654118930714595</v>
      </c>
      <c r="F65" s="4">
        <v>0.98172394980905597</v>
      </c>
      <c r="G65" s="4">
        <v>0.97872340425531901</v>
      </c>
    </row>
    <row r="66" spans="1:7" x14ac:dyDescent="0.25">
      <c r="A66" s="2" t="s">
        <v>26</v>
      </c>
      <c r="B66" t="s">
        <v>13</v>
      </c>
      <c r="C66" s="1">
        <v>6.4493981481481477E-3</v>
      </c>
      <c r="D66" s="3">
        <f t="shared" si="1"/>
        <v>557</v>
      </c>
      <c r="E66" s="5">
        <v>0.88993646238983304</v>
      </c>
      <c r="F66" s="4">
        <v>0.88255790120926403</v>
      </c>
      <c r="G66" s="4">
        <v>0.88809182209469095</v>
      </c>
    </row>
    <row r="67" spans="1:7" x14ac:dyDescent="0.25">
      <c r="A67" s="2" t="s">
        <v>26</v>
      </c>
      <c r="B67" t="s">
        <v>14</v>
      </c>
      <c r="C67" s="1">
        <v>3.5070254629629631E-3</v>
      </c>
      <c r="D67" s="3">
        <f t="shared" si="1"/>
        <v>303</v>
      </c>
      <c r="E67" s="5">
        <v>0.99963924963924899</v>
      </c>
      <c r="F67" s="4">
        <v>0.99963924963924899</v>
      </c>
      <c r="G67" s="4">
        <v>0.99963924963924899</v>
      </c>
    </row>
    <row r="68" spans="1:7" x14ac:dyDescent="0.25">
      <c r="A68" s="2" t="s">
        <v>26</v>
      </c>
      <c r="B68" t="s">
        <v>15</v>
      </c>
      <c r="C68" s="1">
        <v>5.0105324074074071E-4</v>
      </c>
      <c r="D68" s="3">
        <f t="shared" si="1"/>
        <v>43</v>
      </c>
      <c r="E68" s="5">
        <v>0.938888888888888</v>
      </c>
      <c r="F68" s="4">
        <v>0.938888888888888</v>
      </c>
      <c r="G68" s="4">
        <v>0.938888888888888</v>
      </c>
    </row>
    <row r="69" spans="1:7" x14ac:dyDescent="0.25">
      <c r="A69" s="2" t="s">
        <v>26</v>
      </c>
      <c r="B69" t="s">
        <v>16</v>
      </c>
      <c r="C69" s="1">
        <v>3.4955439814814814E-3</v>
      </c>
      <c r="D69" s="3">
        <f t="shared" si="1"/>
        <v>302</v>
      </c>
      <c r="E69" s="5">
        <v>0.88541666666666596</v>
      </c>
      <c r="F69" s="4">
        <v>0.90249999999999997</v>
      </c>
      <c r="G69" s="4">
        <v>0.88749999999999996</v>
      </c>
    </row>
    <row r="70" spans="1:7" x14ac:dyDescent="0.25">
      <c r="A70" s="2" t="s">
        <v>26</v>
      </c>
      <c r="B70" t="s">
        <v>17</v>
      </c>
      <c r="C70" s="1">
        <v>4.259571759259259E-3</v>
      </c>
      <c r="D70" s="3">
        <f t="shared" si="1"/>
        <v>368</v>
      </c>
      <c r="E70" s="5">
        <v>0.97894736842105201</v>
      </c>
      <c r="F70" s="4">
        <v>0.95701754385964899</v>
      </c>
      <c r="G70" s="4">
        <v>0.98070175438596496</v>
      </c>
    </row>
    <row r="71" spans="1:7" x14ac:dyDescent="0.25">
      <c r="A71" s="2" t="s">
        <v>26</v>
      </c>
      <c r="B71" t="s">
        <v>18</v>
      </c>
      <c r="C71" s="1"/>
      <c r="D71" s="3">
        <f t="shared" si="1"/>
        <v>0</v>
      </c>
      <c r="E71" s="5">
        <v>0.99632352941176405</v>
      </c>
      <c r="F71" s="4">
        <v>0.996848739495798</v>
      </c>
      <c r="G71" s="4">
        <v>0.99658613445378097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8388-A1D5-4C69-AD92-4495B29D01EB}">
  <dimension ref="A1:B2"/>
  <sheetViews>
    <sheetView workbookViewId="0">
      <selection activeCell="B2" sqref="B2"/>
    </sheetView>
  </sheetViews>
  <sheetFormatPr defaultRowHeight="13.8" x14ac:dyDescent="0.25"/>
  <cols>
    <col min="1" max="1" width="15.5" bestFit="1" customWidth="1"/>
    <col min="2" max="2" width="11.8984375" bestFit="1" customWidth="1"/>
  </cols>
  <sheetData>
    <row r="1" spans="1:2" x14ac:dyDescent="0.25">
      <c r="A1" t="s">
        <v>27</v>
      </c>
      <c r="B1">
        <f>AVERAGE(Statistics!E2:E15)</f>
        <v>0.96791342130007685</v>
      </c>
    </row>
    <row r="2" spans="1:2" x14ac:dyDescent="0.25">
      <c r="A2" t="s">
        <v>26</v>
      </c>
      <c r="B2">
        <f>AVERAGE(Statistics!E58:E71)</f>
        <v>0.9698952671983857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Phan</dc:creator>
  <cp:lastModifiedBy>Cuong Phan</cp:lastModifiedBy>
  <dcterms:created xsi:type="dcterms:W3CDTF">2025-08-22T13:19:00Z</dcterms:created>
  <dcterms:modified xsi:type="dcterms:W3CDTF">2025-09-12T16:47:39Z</dcterms:modified>
</cp:coreProperties>
</file>